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autoCompressPictures="0"/>
  <mc:AlternateContent xmlns:mc="http://schemas.openxmlformats.org/markup-compatibility/2006">
    <mc:Choice Requires="x15">
      <x15ac:absPath xmlns:x15ac="http://schemas.microsoft.com/office/spreadsheetml/2010/11/ac" url="C:\wamp\www\jeece\jeece\generation\D\docs\"/>
    </mc:Choice>
  </mc:AlternateContent>
  <bookViews>
    <workbookView xWindow="0" yWindow="0" windowWidth="25200" windowHeight="11985"/>
  </bookViews>
  <sheets>
    <sheet name="Devis" sheetId="1" r:id="rId1"/>
    <sheet name="Paramètres" sheetId="2" r:id="rId2"/>
  </sheets>
  <definedNames>
    <definedName name="_xlnm.Print_Area" localSheetId="0">Devis!$A$1:$I$57</definedName>
  </definedNames>
  <calcPr calcId="15251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G40" i="1" l="1"/>
  <c r="H40" i="1"/>
  <c r="H11" i="1"/>
  <c r="E46" i="1"/>
  <c r="B56" i="1"/>
  <c r="B52" i="1"/>
  <c r="H43" i="1"/>
  <c r="H45" i="1"/>
  <c r="H46" i="1"/>
  <c r="H48" i="1"/>
</calcChain>
</file>

<file path=xl/comments1.xml><?xml version="1.0" encoding="utf-8"?>
<comments xmlns="http://schemas.openxmlformats.org/spreadsheetml/2006/main">
  <authors>
    <author>Thibault Demarquay</author>
  </authors>
  <commentList>
    <comment ref="H10" authorId="0" shapeId="0">
      <text>
        <r>
          <rPr>
            <b/>
            <sz val="9"/>
            <color indexed="81"/>
            <rFont val="Tahoma"/>
            <family val="2"/>
          </rPr>
          <t>Thibault Demarquay:</t>
        </r>
        <r>
          <rPr>
            <sz val="9"/>
            <color indexed="81"/>
            <rFont val="Tahoma"/>
            <family val="2"/>
          </rPr>
          <t xml:space="preserve">
Par soucis de clarté, veillez à supprimer les 0 des cases non utilisées une fois le devis terminé afin d'effacer les "- €" !
Pour s'assurer que la mise en page est bonne, allez dans le ruban dans l'onglet "Mise en page". Vous pouvez alors choisir la vue pour voir le rendu final. Si le résultat ne vous convient pas, vous pouvez redéfinir la zone d'impression, jouer sur le pourcentage de l'échelle ou sur les dimensions d'une ligne. Faites gaffes lors de l'export à ne prendre que la feuille intéressante et de ne pas inclure le bouton ou la feuille "Paramètres" !</t>
        </r>
      </text>
    </comment>
    <comment ref="E11" authorId="0" shapeId="0">
      <text>
        <r>
          <rPr>
            <b/>
            <sz val="9"/>
            <color indexed="81"/>
            <rFont val="Tahoma"/>
            <family val="2"/>
          </rPr>
          <t>Thibault Demarquay:</t>
        </r>
        <r>
          <rPr>
            <sz val="9"/>
            <color indexed="81"/>
            <rFont val="Tahoma"/>
            <family val="2"/>
          </rPr>
          <t xml:space="preserve">
Attention, si le CdP est rénuméré, la phase d'anlayse ne doit pas dépasser 10% du montant HT de la mission.
Cette phase ne doit pas excéder les 300-400€  sauf cas particulier.</t>
        </r>
      </text>
    </comment>
    <comment ref="H43" authorId="0" shapeId="0">
      <text>
        <r>
          <rPr>
            <b/>
            <sz val="9"/>
            <color indexed="81"/>
            <rFont val="Tahoma"/>
            <family val="2"/>
          </rPr>
          <t>Thibault Demarquay:</t>
        </r>
        <r>
          <rPr>
            <sz val="9"/>
            <color indexed="81"/>
            <rFont val="Tahoma"/>
            <family val="2"/>
          </rPr>
          <t xml:space="preserve">
Les frais de structures sont remplies automatiquement.</t>
        </r>
      </text>
    </comment>
  </commentList>
</comments>
</file>

<file path=xl/sharedStrings.xml><?xml version="1.0" encoding="utf-8"?>
<sst xmlns="http://schemas.openxmlformats.org/spreadsheetml/2006/main" count="33" uniqueCount="32">
  <si>
    <t>Désignation</t>
  </si>
  <si>
    <t>Prix Unitaire HT</t>
  </si>
  <si>
    <t>Nombre de JEH</t>
  </si>
  <si>
    <t>Montant HT</t>
  </si>
  <si>
    <t>Frais</t>
  </si>
  <si>
    <t>Frais de structure</t>
  </si>
  <si>
    <t xml:space="preserve">Montant Total HT </t>
  </si>
  <si>
    <t>Montant Total TTC</t>
  </si>
  <si>
    <t>Taux TVA (en %)</t>
  </si>
  <si>
    <t xml:space="preserve">Devis Réf. </t>
  </si>
  <si>
    <t xml:space="preserve">Date Édition : </t>
  </si>
  <si>
    <t>Représentant :</t>
  </si>
  <si>
    <t>Téléphone :</t>
  </si>
  <si>
    <t>Ce devis n'a aucune valeur contractuelle, il existe à titre indicatif. L'acceptation de celui-ci sera effectuée par l'intermédiaire de l'Avant-Projet.
Ce devis est valable jusqu’au Date d’édition + 7 jours.
Ce devis n'a aucune valeur contractuelle, il existe à titre indicatif. L'acceptation de celui-ci sera effectuée par l'intermédiaire de l'Avant-Projet.
Ce devis est valable jusqu’au Date d’édition + 7 jours.
Ce devis n'a aucune valeur contractuelle, il existe à titre indicatif. L'acceptation de celui-ci sera effectuée par l'intermédiaire de l'Avant-Projet.</t>
  </si>
  <si>
    <t>Tous droits de reproduction réservés - © JEECE</t>
  </si>
  <si>
    <t>Page 1 sur 1</t>
  </si>
  <si>
    <t>*</t>
  </si>
  <si>
    <t>Frais de structure (%)</t>
  </si>
  <si>
    <t>Analyse préliminaire</t>
  </si>
  <si>
    <t>Sous Total</t>
  </si>
  <si>
    <r>
      <rPr>
        <b/>
        <sz val="8"/>
        <rFont val="Verdana"/>
        <family val="2"/>
      </rPr>
      <t>JEECE, Junior-Entreprise de l'ECE Paris</t>
    </r>
    <r>
      <rPr>
        <sz val="8"/>
        <rFont val="Verdana"/>
        <family val="2"/>
      </rPr>
      <t xml:space="preserve">
Association régie par la loi de 1901 affiliée à la CNJE
Immeuble POLLUX– 37 quai de Grenelle 75015 Paris
Tél/Fax : 01 45 49 19 99  -  Email </t>
    </r>
    <r>
      <rPr>
        <u/>
        <sz val="8"/>
        <rFont val="Verdana"/>
        <family val="2"/>
      </rPr>
      <t>contact@jeece.fr</t>
    </r>
    <r>
      <rPr>
        <sz val="8"/>
        <rFont val="Verdana"/>
        <family val="2"/>
      </rPr>
      <t xml:space="preserve">  -  </t>
    </r>
    <r>
      <rPr>
        <u/>
        <sz val="8"/>
        <rFont val="Verdana"/>
        <family val="2"/>
      </rPr>
      <t>www.jeece.fr</t>
    </r>
    <r>
      <rPr>
        <sz val="8"/>
        <rFont val="Verdana"/>
        <family val="2"/>
      </rPr>
      <t xml:space="preserve">
</t>
    </r>
    <r>
      <rPr>
        <b/>
        <sz val="8"/>
        <rFont val="Verdana"/>
        <family val="2"/>
      </rPr>
      <t xml:space="preserve"> Code APE :</t>
    </r>
    <r>
      <rPr>
        <sz val="8"/>
        <rFont val="Verdana"/>
        <family val="2"/>
      </rPr>
      <t xml:space="preserve"> 9499Z  -  </t>
    </r>
    <r>
      <rPr>
        <b/>
        <sz val="8"/>
        <rFont val="Verdana"/>
        <family val="2"/>
      </rPr>
      <t xml:space="preserve">N° SIRET : </t>
    </r>
    <r>
      <rPr>
        <sz val="8"/>
        <rFont val="Verdana"/>
        <family val="2"/>
      </rPr>
      <t xml:space="preserve">340 555 283 00035 
</t>
    </r>
    <r>
      <rPr>
        <b/>
        <sz val="8"/>
        <rFont val="Verdana"/>
        <family val="2"/>
      </rPr>
      <t>N° URSSAF :</t>
    </r>
    <r>
      <rPr>
        <sz val="8"/>
        <rFont val="Verdana"/>
        <family val="2"/>
      </rPr>
      <t xml:space="preserve"> 965 240129683001011 1
</t>
    </r>
    <r>
      <rPr>
        <b/>
        <sz val="8"/>
        <rFont val="Verdana"/>
        <family val="2"/>
      </rPr>
      <t>N° TVA Intracommunautaire : FR7234055528300035</t>
    </r>
  </si>
  <si>
    <t>sur les encaissements</t>
  </si>
  <si>
    <t>[onload.tva;ope=tbs:percent]</t>
  </si>
  <si>
    <t>[onload.frais;ope=tbs:percent]</t>
  </si>
  <si>
    <t>[onshow.date_d]</t>
  </si>
  <si>
    <t>[onshow.refetude]-D[onshow.numero_d]</t>
  </si>
  <si>
    <t>[onshow.nom_cdp]</t>
  </si>
  <si>
    <t>[onshow.tel_cdp]</t>
  </si>
  <si>
    <t>[onshow.adresse_client]</t>
  </si>
  <si>
    <t>[onshow.nom_societe2]</t>
  </si>
  <si>
    <t>[onshow.client2]</t>
  </si>
  <si>
    <t>[onshow.cp_client] [onshow.ville_client]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</si>
</sst>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 #,##0.00\ &quot;€&quot;_-;\-* #,##0.00\ &quot;€&quot;_-;_-* &quot;-&quot;??\ &quot;€&quot;_-;_-@_-"/>
    <numFmt numFmtId="164" formatCode="#,##0.00\ &quot;€&quot;"/>
    <numFmt numFmtId="165" formatCode="0#&quot; &quot;##&quot; &quot;##&quot; &quot;##&quot; &quot;##"/>
  </numFmts>
  <fonts count="17" x14ac:knownFonts="1">
    <font>
      <sz val="11"/>
      <color theme="1"/>
      <name val="Calibri"/>
      <family val="2"/>
      <scheme val="minor"/>
    </font>
    <font>
      <b/>
      <sz val="10"/>
      <name val="Verdana"/>
      <family val="2"/>
    </font>
    <font>
      <sz val="10"/>
      <name val="Verdana"/>
      <family val="2"/>
    </font>
    <font>
      <sz val="10"/>
      <name val="Arial"/>
      <family val="2"/>
    </font>
    <font>
      <b/>
      <sz val="11"/>
      <color theme="0"/>
      <name val="Calibri"/>
      <family val="2"/>
      <scheme val="minor"/>
    </font>
    <font>
      <sz val="11"/>
      <color theme="0"/>
      <name val="Calibri"/>
      <family val="2"/>
      <scheme val="minor"/>
    </font>
    <font>
      <sz val="12"/>
      <color theme="1"/>
      <name val="Calibri"/>
      <family val="2"/>
      <scheme val="minor"/>
    </font>
    <font>
      <sz val="10"/>
      <color theme="1"/>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sz val="8"/>
      <name val="Verdana"/>
      <family val="2"/>
    </font>
    <font>
      <b/>
      <sz val="8"/>
      <name val="Verdana"/>
      <family val="2"/>
    </font>
    <font>
      <u/>
      <sz val="8"/>
      <name val="Verdana"/>
      <family val="2"/>
    </font>
    <font>
      <b/>
      <sz val="11"/>
      <color theme="1"/>
      <name val="Calibri"/>
      <family val="2"/>
      <scheme val="minor"/>
    </font>
    <font>
      <sz val="9"/>
      <color rgb="FF003300"/>
      <name val="Courier New"/>
      <family val="3"/>
    </font>
  </fonts>
  <fills count="5">
    <fill>
      <patternFill patternType="none"/>
    </fill>
    <fill>
      <patternFill patternType="gray125"/>
    </fill>
    <fill>
      <patternFill patternType="solid">
        <fgColor rgb="FF009800"/>
        <bgColor indexed="64"/>
      </patternFill>
    </fill>
    <fill>
      <patternFill patternType="solid">
        <fgColor theme="0"/>
        <bgColor indexed="64"/>
      </patternFill>
    </fill>
    <fill>
      <patternFill patternType="solid">
        <fgColor rgb="FFCCFF99"/>
        <bgColor indexed="64"/>
      </patternFill>
    </fill>
  </fills>
  <borders count="4">
    <border>
      <left/>
      <right/>
      <top/>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
    <xf numFmtId="0" fontId="0" fillId="0" borderId="0"/>
    <xf numFmtId="44" fontId="3" fillId="0" borderId="0" applyFont="0" applyFill="0" applyBorder="0" applyAlignment="0" applyProtection="0"/>
    <xf numFmtId="44" fontId="3" fillId="0" borderId="0" applyFont="0" applyFill="0" applyBorder="0" applyAlignment="0" applyProtection="0"/>
  </cellStyleXfs>
  <cellXfs count="71">
    <xf numFmtId="0" fontId="0" fillId="0" borderId="0" xfId="0"/>
    <xf numFmtId="0" fontId="0" fillId="3" borderId="0" xfId="0" applyFill="1"/>
    <xf numFmtId="0" fontId="0" fillId="3" borderId="0" xfId="0" applyFill="1" applyAlignment="1">
      <alignment vertical="center"/>
    </xf>
    <xf numFmtId="44" fontId="2" fillId="3" borderId="0" xfId="1" applyFont="1" applyFill="1" applyBorder="1" applyAlignment="1">
      <alignment horizontal="center" vertical="center"/>
    </xf>
    <xf numFmtId="0" fontId="2" fillId="3" borderId="0" xfId="0" applyFont="1" applyFill="1" applyBorder="1" applyAlignment="1">
      <alignment horizontal="left"/>
    </xf>
    <xf numFmtId="0" fontId="0" fillId="3" borderId="0" xfId="0" applyFill="1" applyAlignment="1">
      <alignment wrapText="1"/>
    </xf>
    <xf numFmtId="0" fontId="0" fillId="0" borderId="0" xfId="0" applyBorder="1"/>
    <xf numFmtId="164" fontId="0" fillId="0" borderId="0" xfId="0" applyNumberFormat="1" applyBorder="1"/>
    <xf numFmtId="0" fontId="0" fillId="0" borderId="2" xfId="0" applyBorder="1"/>
    <xf numFmtId="10" fontId="0" fillId="0" borderId="3" xfId="0" applyNumberFormat="1" applyBorder="1"/>
    <xf numFmtId="0" fontId="0" fillId="0" borderId="1" xfId="0" applyBorder="1"/>
    <xf numFmtId="0" fontId="0" fillId="3" borderId="0" xfId="0" applyFill="1" applyBorder="1" applyAlignment="1">
      <alignment horizontal="center" vertical="center"/>
    </xf>
    <xf numFmtId="0" fontId="0" fillId="3" borderId="0" xfId="0" applyFont="1" applyFill="1" applyBorder="1" applyAlignment="1" applyProtection="1">
      <alignment vertical="center" wrapText="1"/>
      <protection locked="0"/>
    </xf>
    <xf numFmtId="0" fontId="9" fillId="3" borderId="0" xfId="0" applyFont="1" applyFill="1"/>
    <xf numFmtId="0" fontId="9" fillId="0" borderId="0" xfId="0" applyFont="1" applyFill="1"/>
    <xf numFmtId="44" fontId="9" fillId="3" borderId="0" xfId="0" applyNumberFormat="1" applyFont="1" applyFill="1" applyBorder="1" applyAlignment="1" applyProtection="1">
      <alignment vertical="center" wrapText="1"/>
      <protection locked="0"/>
    </xf>
    <xf numFmtId="0" fontId="9" fillId="3" borderId="0" xfId="0" applyFont="1" applyFill="1" applyBorder="1" applyAlignment="1" applyProtection="1">
      <alignment horizontal="center" vertical="center" wrapText="1"/>
      <protection locked="0"/>
    </xf>
    <xf numFmtId="44" fontId="9" fillId="4" borderId="0" xfId="2" applyNumberFormat="1" applyFont="1" applyFill="1" applyBorder="1" applyAlignment="1">
      <alignment horizontal="center"/>
    </xf>
    <xf numFmtId="0" fontId="8" fillId="3" borderId="0" xfId="0" applyFont="1" applyFill="1" applyBorder="1" applyAlignment="1">
      <alignment horizontal="center" vertical="center"/>
    </xf>
    <xf numFmtId="44" fontId="9" fillId="4" borderId="0" xfId="1" applyFont="1" applyFill="1" applyBorder="1" applyAlignment="1">
      <alignment horizontal="center"/>
    </xf>
    <xf numFmtId="0" fontId="4" fillId="2" borderId="0" xfId="0" applyFont="1" applyFill="1" applyBorder="1" applyAlignment="1">
      <alignment horizontal="center" vertical="center" wrapText="1"/>
    </xf>
    <xf numFmtId="0" fontId="4" fillId="2" borderId="0" xfId="0" applyFont="1" applyFill="1" applyBorder="1" applyAlignment="1">
      <alignment horizontal="center" vertical="center"/>
    </xf>
    <xf numFmtId="44" fontId="4" fillId="2" borderId="0" xfId="1" applyFont="1" applyFill="1" applyBorder="1" applyAlignment="1">
      <alignment horizontal="center" vertical="center"/>
    </xf>
    <xf numFmtId="44" fontId="9" fillId="4" borderId="0" xfId="1" applyNumberFormat="1" applyFont="1" applyFill="1" applyBorder="1" applyAlignment="1" applyProtection="1">
      <alignment horizontal="center" vertical="center"/>
    </xf>
    <xf numFmtId="44" fontId="9" fillId="4" borderId="0" xfId="1" applyFont="1" applyFill="1" applyBorder="1" applyAlignment="1">
      <alignment horizontal="center" vertical="center"/>
    </xf>
    <xf numFmtId="44" fontId="8" fillId="4" borderId="0" xfId="1" applyFont="1" applyFill="1" applyBorder="1" applyAlignment="1">
      <alignment horizontal="center" vertical="center"/>
    </xf>
    <xf numFmtId="0" fontId="0" fillId="0" borderId="0" xfId="0" applyFill="1" applyBorder="1" applyAlignment="1">
      <alignment vertical="center"/>
    </xf>
    <xf numFmtId="0" fontId="0" fillId="3" borderId="0" xfId="0" applyFill="1" applyAlignment="1">
      <alignment horizontal="left" vertical="center"/>
    </xf>
    <xf numFmtId="0" fontId="0" fillId="3" borderId="0" xfId="0" applyFill="1" applyAlignment="1">
      <alignment horizontal="center" vertical="center"/>
    </xf>
    <xf numFmtId="44" fontId="9" fillId="3" borderId="0" xfId="0" applyNumberFormat="1" applyFont="1" applyFill="1" applyBorder="1" applyAlignment="1" applyProtection="1">
      <alignment vertical="center" wrapText="1"/>
      <protection locked="0"/>
    </xf>
    <xf numFmtId="0" fontId="9" fillId="3" borderId="0" xfId="0" applyFont="1" applyFill="1" applyBorder="1" applyAlignment="1" applyProtection="1">
      <alignment horizontal="left" wrapText="1"/>
      <protection locked="0"/>
    </xf>
    <xf numFmtId="0" fontId="8" fillId="3" borderId="0" xfId="0" applyFont="1" applyFill="1" applyBorder="1" applyAlignment="1">
      <alignment vertical="center" wrapText="1"/>
    </xf>
    <xf numFmtId="0" fontId="1" fillId="3" borderId="0" xfId="0" applyFont="1" applyFill="1" applyBorder="1" applyAlignment="1">
      <alignment horizontal="right" vertical="center" wrapText="1"/>
    </xf>
    <xf numFmtId="0" fontId="9" fillId="3" borderId="0" xfId="0" applyFont="1" applyFill="1" applyBorder="1" applyAlignment="1" applyProtection="1">
      <alignment horizontal="center" vertical="center" wrapText="1"/>
      <protection locked="0"/>
    </xf>
    <xf numFmtId="0" fontId="0" fillId="0" borderId="0" xfId="0" applyFill="1"/>
    <xf numFmtId="0" fontId="5" fillId="0" borderId="0" xfId="0" applyFont="1" applyFill="1"/>
    <xf numFmtId="0" fontId="5" fillId="0" borderId="0" xfId="0" applyFont="1" applyFill="1" applyBorder="1"/>
    <xf numFmtId="0" fontId="5" fillId="0" borderId="0" xfId="0" applyFont="1" applyFill="1" applyAlignment="1">
      <alignment horizontal="right"/>
    </xf>
    <xf numFmtId="0" fontId="4" fillId="0" borderId="0" xfId="0" applyFont="1" applyFill="1" applyAlignment="1">
      <alignment horizontal="right" vertical="center"/>
    </xf>
    <xf numFmtId="0" fontId="9" fillId="3" borderId="0" xfId="0" applyFont="1" applyFill="1" applyBorder="1" applyAlignment="1" applyProtection="1">
      <alignment horizontal="left" vertical="center" wrapText="1"/>
      <protection locked="0"/>
    </xf>
    <xf numFmtId="44" fontId="9" fillId="3" borderId="0" xfId="0" applyNumberFormat="1" applyFont="1" applyFill="1" applyBorder="1" applyAlignment="1" applyProtection="1">
      <alignment vertical="center" wrapText="1"/>
      <protection locked="0"/>
    </xf>
    <xf numFmtId="14" fontId="0" fillId="0" borderId="0" xfId="0" applyNumberFormat="1" applyFill="1" applyBorder="1" applyAlignment="1" applyProtection="1">
      <alignment horizontal="left" vertical="center"/>
      <protection locked="0"/>
    </xf>
    <xf numFmtId="0" fontId="0" fillId="0" borderId="0" xfId="0" applyFill="1" applyBorder="1" applyAlignment="1" applyProtection="1">
      <alignment vertical="center" wrapText="1"/>
      <protection locked="0"/>
    </xf>
    <xf numFmtId="165" fontId="0" fillId="0" borderId="0" xfId="0" applyNumberFormat="1" applyFill="1" applyBorder="1" applyAlignment="1" applyProtection="1">
      <alignment horizontal="left" vertical="center" wrapText="1"/>
      <protection locked="0"/>
    </xf>
    <xf numFmtId="0" fontId="16" fillId="0" borderId="0" xfId="0" applyFont="1"/>
    <xf numFmtId="0" fontId="9" fillId="3" borderId="0" xfId="0" applyFont="1" applyFill="1" applyBorder="1" applyAlignment="1" applyProtection="1">
      <alignment horizontal="left" vertical="center" wrapText="1"/>
      <protection locked="0"/>
    </xf>
    <xf numFmtId="0" fontId="4" fillId="2" borderId="0"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0" xfId="0" applyFont="1" applyFill="1" applyBorder="1" applyAlignment="1" applyProtection="1">
      <alignment horizontal="left" wrapText="1"/>
      <protection locked="0"/>
    </xf>
    <xf numFmtId="44" fontId="9" fillId="3" borderId="0" xfId="0" applyNumberFormat="1" applyFont="1" applyFill="1" applyBorder="1" applyAlignment="1" applyProtection="1">
      <alignment vertical="center" wrapText="1"/>
      <protection locked="0"/>
    </xf>
    <xf numFmtId="0" fontId="8" fillId="3" borderId="0" xfId="0" applyFont="1" applyFill="1" applyBorder="1" applyAlignment="1">
      <alignment horizontal="center" vertical="center"/>
    </xf>
    <xf numFmtId="0" fontId="8" fillId="3" borderId="0" xfId="0" applyFont="1" applyFill="1" applyBorder="1" applyAlignment="1" applyProtection="1">
      <alignment horizontal="left" vertical="center" wrapText="1"/>
      <protection locked="0"/>
    </xf>
    <xf numFmtId="0" fontId="7" fillId="3" borderId="0" xfId="0" applyFont="1" applyFill="1" applyAlignment="1">
      <alignment horizontal="center" vertical="center"/>
    </xf>
    <xf numFmtId="0" fontId="0" fillId="3" borderId="0" xfId="0" applyFill="1" applyAlignment="1">
      <alignment horizontal="left" vertical="center"/>
    </xf>
    <xf numFmtId="0" fontId="6" fillId="3" borderId="0" xfId="0" applyFont="1" applyFill="1" applyAlignment="1">
      <alignment horizontal="left" vertical="center" wrapText="1"/>
    </xf>
    <xf numFmtId="44" fontId="9" fillId="4" borderId="0" xfId="1" applyFont="1" applyFill="1" applyBorder="1" applyAlignment="1">
      <alignment horizontal="center" vertical="center"/>
    </xf>
    <xf numFmtId="14" fontId="6" fillId="3" borderId="0" xfId="0" applyNumberFormat="1" applyFont="1" applyFill="1" applyAlignment="1">
      <alignment horizontal="left" vertical="center"/>
    </xf>
    <xf numFmtId="0" fontId="4"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xf>
    <xf numFmtId="0" fontId="0" fillId="3" borderId="0" xfId="0" applyFill="1" applyBorder="1" applyAlignment="1">
      <alignment horizontal="left" wrapText="1"/>
    </xf>
    <xf numFmtId="0" fontId="4" fillId="2" borderId="0" xfId="0" applyFont="1" applyFill="1" applyBorder="1" applyAlignment="1">
      <alignment horizontal="center" vertical="center" wrapText="1"/>
    </xf>
    <xf numFmtId="0" fontId="0" fillId="0" borderId="0" xfId="0" applyFill="1" applyBorder="1" applyAlignment="1">
      <alignment horizontal="left" vertical="center"/>
    </xf>
    <xf numFmtId="0" fontId="15" fillId="3" borderId="0" xfId="0" applyFont="1" applyFill="1" applyBorder="1" applyAlignment="1">
      <alignment horizontal="left" wrapText="1"/>
    </xf>
    <xf numFmtId="0" fontId="0" fillId="3" borderId="0" xfId="0" applyFill="1" applyAlignment="1">
      <alignment horizontal="center" vertical="top"/>
    </xf>
    <xf numFmtId="0" fontId="9" fillId="0" borderId="0" xfId="0" applyFont="1" applyFill="1" applyBorder="1" applyAlignment="1" applyProtection="1">
      <alignment horizontal="left" vertical="center"/>
      <protection locked="0"/>
    </xf>
    <xf numFmtId="0" fontId="12" fillId="3" borderId="0" xfId="0" applyFont="1" applyFill="1" applyAlignment="1">
      <alignment horizontal="center" vertical="top" wrapText="1"/>
    </xf>
    <xf numFmtId="0" fontId="9" fillId="3" borderId="0" xfId="0" applyFont="1" applyFill="1" applyAlignment="1">
      <alignment horizontal="center" vertical="top"/>
    </xf>
    <xf numFmtId="0" fontId="0" fillId="0" borderId="0" xfId="0" applyFill="1" applyAlignment="1">
      <alignment horizontal="right"/>
    </xf>
    <xf numFmtId="0" fontId="0" fillId="0" borderId="0" xfId="0" applyFill="1" applyAlignment="1" applyProtection="1">
      <alignment horizontal="right" vertical="center"/>
      <protection locked="0"/>
    </xf>
    <xf numFmtId="0" fontId="0" fillId="0" borderId="0" xfId="0" applyFill="1" applyAlignment="1" applyProtection="1">
      <alignment horizontal="right" vertical="center" wrapText="1"/>
      <protection locked="0"/>
    </xf>
  </cellXfs>
  <cellStyles count="3">
    <cellStyle name="Euro" xfId="1"/>
    <cellStyle name="Euro 2" xfId="2"/>
    <cellStyle name="Normal" xfId="0" builtinId="0"/>
  </cellStyles>
  <dxfs count="0"/>
  <tableStyles count="0" defaultTableStyle="TableStyleMedium2" defaultPivotStyle="PivotStyleLight16"/>
  <colors>
    <mruColors>
      <color rgb="FFE6FFCD"/>
      <color rgb="FFCCFF99"/>
      <color rgb="FF009800"/>
      <color rgb="FF99FF66"/>
      <color rgb="FFAFFFA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125731</xdr:colOff>
      <xdr:row>2</xdr:row>
      <xdr:rowOff>19050</xdr:rowOff>
    </xdr:from>
    <xdr:to>
      <xdr:col>6</xdr:col>
      <xdr:colOff>381001</xdr:colOff>
      <xdr:row>3</xdr:row>
      <xdr:rowOff>0</xdr:rowOff>
    </xdr:to>
    <xdr:sp macro="" textlink="">
      <xdr:nvSpPr>
        <xdr:cNvPr id="4" name="Rectangle 6"/>
        <xdr:cNvSpPr>
          <a:spLocks noChangeArrowheads="1"/>
        </xdr:cNvSpPr>
      </xdr:nvSpPr>
      <xdr:spPr bwMode="auto">
        <a:xfrm>
          <a:off x="1325881" y="1285875"/>
          <a:ext cx="3208020" cy="371475"/>
        </a:xfrm>
        <a:prstGeom prst="roundRect">
          <a:avLst/>
        </a:prstGeom>
        <a:solidFill>
          <a:srgbClr val="009900"/>
        </a:solidFill>
        <a:ln w="12700">
          <a:noFill/>
          <a:miter lim="800000"/>
          <a:headEnd/>
          <a:tailEnd/>
        </a:ln>
      </xdr:spPr>
      <xdr:txBody>
        <a:bodyPr rot="0" vert="horz" wrap="square" lIns="91440" tIns="45720" rIns="91440" bIns="45720" anchor="t" anchorCtr="0" upright="1">
          <a:noAutofit/>
        </a:bodyPr>
        <a:lstStyle/>
        <a:p>
          <a:pPr algn="ctr">
            <a:spcAft>
              <a:spcPts val="0"/>
            </a:spcAft>
          </a:pPr>
          <a:r>
            <a:rPr lang="fr-FR" sz="1600" b="1">
              <a:solidFill>
                <a:srgbClr val="FFFFFF"/>
              </a:solidFill>
              <a:effectLst/>
              <a:latin typeface="Calibri" panose="020F0502020204030204" pitchFamily="34" charset="0"/>
              <a:ea typeface="Times New Roman" panose="02020603050405020304" pitchFamily="18" charset="0"/>
            </a:rPr>
            <a:t>DEVIS</a:t>
          </a:r>
          <a:endParaRPr lang="fr-FR"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3</xdr:col>
      <xdr:colOff>3094749</xdr:colOff>
      <xdr:row>55</xdr:row>
      <xdr:rowOff>11059</xdr:rowOff>
    </xdr:from>
    <xdr:to>
      <xdr:col>3</xdr:col>
      <xdr:colOff>3439401</xdr:colOff>
      <xdr:row>56</xdr:row>
      <xdr:rowOff>16321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1099" y="11650609"/>
          <a:ext cx="344652" cy="195762"/>
        </a:xfrm>
        <a:prstGeom prst="rect">
          <a:avLst/>
        </a:prstGeom>
      </xdr:spPr>
    </xdr:pic>
    <xdr:clientData/>
  </xdr:twoCellAnchor>
  <xdr:twoCellAnchor editAs="oneCell">
    <xdr:from>
      <xdr:col>1</xdr:col>
      <xdr:colOff>89052</xdr:colOff>
      <xdr:row>1</xdr:row>
      <xdr:rowOff>19049</xdr:rowOff>
    </xdr:from>
    <xdr:to>
      <xdr:col>2</xdr:col>
      <xdr:colOff>135766</xdr:colOff>
      <xdr:row>1</xdr:row>
      <xdr:rowOff>913488</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5727" y="104774"/>
          <a:ext cx="894439" cy="894439"/>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K57"/>
  <sheetViews>
    <sheetView tabSelected="1" zoomScaleNormal="100" zoomScaleSheetLayoutView="110" workbookViewId="0">
      <selection activeCell="F8" sqref="F8:H8"/>
    </sheetView>
  </sheetViews>
  <sheetFormatPr baseColWidth="10" defaultColWidth="10.85546875" defaultRowHeight="15" x14ac:dyDescent="0.25"/>
  <cols>
    <col min="1" max="1" width="1" style="1" customWidth="1"/>
    <col min="2" max="2" width="12.7109375" style="1" customWidth="1"/>
    <col min="3" max="3" width="5.42578125" style="1" customWidth="1"/>
    <col min="4" max="4" width="77.28515625" style="1" customWidth="1"/>
    <col min="5" max="5" width="5.7109375" style="1" customWidth="1"/>
    <col min="6" max="6" width="11.7109375" style="1" customWidth="1"/>
    <col min="7" max="7" width="9.140625" style="1" customWidth="1"/>
    <col min="8" max="8" width="13.42578125" style="1" customWidth="1"/>
    <col min="9" max="9" width="2.140625" style="1" customWidth="1"/>
    <col min="10" max="16384" width="10.85546875" style="1"/>
  </cols>
  <sheetData>
    <row r="1" spans="2:11" ht="46.5" customHeight="1" x14ac:dyDescent="0.25">
      <c r="K1" s="1" t="s">
        <v>16</v>
      </c>
    </row>
    <row r="2" spans="2:11" ht="93" customHeight="1" x14ac:dyDescent="0.25">
      <c r="B2" s="64"/>
      <c r="C2" s="64"/>
      <c r="D2" s="66" t="s">
        <v>20</v>
      </c>
      <c r="E2" s="67"/>
      <c r="F2" s="67"/>
      <c r="G2" s="67"/>
      <c r="H2" s="67"/>
    </row>
    <row r="3" spans="2:11" ht="26.45" customHeight="1" x14ac:dyDescent="0.25"/>
    <row r="4" spans="2:11" ht="63.75" customHeight="1" x14ac:dyDescent="0.25"/>
    <row r="5" spans="2:11" x14ac:dyDescent="0.25">
      <c r="B5" s="26" t="s">
        <v>9</v>
      </c>
      <c r="C5" s="65" t="s">
        <v>25</v>
      </c>
      <c r="D5" s="65"/>
      <c r="E5" s="11"/>
      <c r="F5" s="68" t="s">
        <v>29</v>
      </c>
      <c r="G5" s="68"/>
      <c r="H5" s="68"/>
    </row>
    <row r="6" spans="2:11" x14ac:dyDescent="0.25">
      <c r="B6" s="62" t="s">
        <v>10</v>
      </c>
      <c r="C6" s="62"/>
      <c r="D6" s="41" t="s">
        <v>24</v>
      </c>
      <c r="E6" s="70" t="s">
        <v>30</v>
      </c>
      <c r="F6" s="70"/>
      <c r="G6" s="70"/>
      <c r="H6" s="70"/>
    </row>
    <row r="7" spans="2:11" x14ac:dyDescent="0.25">
      <c r="B7" s="62" t="s">
        <v>11</v>
      </c>
      <c r="C7" s="62"/>
      <c r="D7" s="42" t="s">
        <v>26</v>
      </c>
      <c r="E7" s="12"/>
      <c r="F7" s="69" t="s">
        <v>28</v>
      </c>
      <c r="G7" s="69"/>
      <c r="H7" s="69"/>
      <c r="I7" s="2"/>
    </row>
    <row r="8" spans="2:11" ht="15.75" customHeight="1" x14ac:dyDescent="0.25">
      <c r="B8" s="62" t="s">
        <v>12</v>
      </c>
      <c r="C8" s="62"/>
      <c r="D8" s="43" t="s">
        <v>27</v>
      </c>
      <c r="E8" s="12"/>
      <c r="F8" s="69" t="s">
        <v>31</v>
      </c>
      <c r="G8" s="69"/>
      <c r="H8" s="69"/>
    </row>
    <row r="9" spans="2:11" ht="55.5" customHeight="1" x14ac:dyDescent="0.25"/>
    <row r="10" spans="2:11" ht="45.75" customHeight="1" x14ac:dyDescent="0.25">
      <c r="B10" s="46" t="s">
        <v>0</v>
      </c>
      <c r="C10" s="46"/>
      <c r="D10" s="46"/>
      <c r="E10" s="61" t="s">
        <v>1</v>
      </c>
      <c r="F10" s="61"/>
      <c r="G10" s="20" t="s">
        <v>2</v>
      </c>
      <c r="H10" s="21" t="s">
        <v>3</v>
      </c>
    </row>
    <row r="11" spans="2:11" x14ac:dyDescent="0.25">
      <c r="B11" s="45" t="s">
        <v>18</v>
      </c>
      <c r="C11" s="45"/>
      <c r="D11" s="45"/>
      <c r="E11" s="49">
        <v>320</v>
      </c>
      <c r="F11" s="49"/>
      <c r="G11" s="16">
        <v>1</v>
      </c>
      <c r="H11" s="17">
        <f t="shared" ref="H11" si="0">E11*G11</f>
        <v>320</v>
      </c>
    </row>
    <row r="12" spans="2:11" x14ac:dyDescent="0.25">
      <c r="B12" s="60"/>
      <c r="C12" s="60"/>
      <c r="D12" s="60"/>
      <c r="E12" s="49"/>
      <c r="F12" s="49"/>
      <c r="G12" s="16"/>
      <c r="H12" s="17"/>
    </row>
    <row r="13" spans="2:11" x14ac:dyDescent="0.25">
      <c r="B13" s="51"/>
      <c r="C13" s="51"/>
      <c r="D13" s="51"/>
      <c r="E13" s="49"/>
      <c r="F13" s="49"/>
      <c r="G13" s="16"/>
      <c r="H13" s="17"/>
    </row>
    <row r="14" spans="2:11" x14ac:dyDescent="0.25">
      <c r="B14" s="60"/>
      <c r="C14" s="60"/>
      <c r="D14" s="60"/>
      <c r="E14" s="49"/>
      <c r="F14" s="49"/>
      <c r="G14" s="16"/>
      <c r="H14" s="17"/>
    </row>
    <row r="15" spans="2:11" x14ac:dyDescent="0.25">
      <c r="B15" s="45"/>
      <c r="C15" s="45"/>
      <c r="D15" s="45"/>
      <c r="E15" s="49"/>
      <c r="F15" s="49"/>
      <c r="G15" s="16"/>
      <c r="H15" s="17"/>
    </row>
    <row r="16" spans="2:11" x14ac:dyDescent="0.25">
      <c r="B16" s="60"/>
      <c r="C16" s="60"/>
      <c r="D16" s="60"/>
      <c r="E16" s="49"/>
      <c r="F16" s="49"/>
      <c r="G16" s="16"/>
      <c r="H16" s="17"/>
    </row>
    <row r="17" spans="2:8" x14ac:dyDescent="0.25">
      <c r="B17" s="45"/>
      <c r="C17" s="45"/>
      <c r="D17" s="45"/>
      <c r="E17" s="49"/>
      <c r="F17" s="49"/>
      <c r="G17" s="16"/>
      <c r="H17" s="17"/>
    </row>
    <row r="18" spans="2:8" x14ac:dyDescent="0.25">
      <c r="B18" s="63"/>
      <c r="C18" s="63"/>
      <c r="D18" s="63"/>
      <c r="E18" s="49"/>
      <c r="F18" s="49"/>
      <c r="G18" s="16"/>
      <c r="H18" s="17"/>
    </row>
    <row r="19" spans="2:8" x14ac:dyDescent="0.25">
      <c r="B19" s="60"/>
      <c r="C19" s="60"/>
      <c r="D19" s="60"/>
      <c r="E19" s="49"/>
      <c r="F19" s="49"/>
      <c r="G19" s="16"/>
      <c r="H19" s="17"/>
    </row>
    <row r="20" spans="2:8" x14ac:dyDescent="0.25">
      <c r="B20" s="45"/>
      <c r="C20" s="45"/>
      <c r="D20" s="45"/>
      <c r="E20" s="49"/>
      <c r="F20" s="49"/>
      <c r="G20" s="16"/>
      <c r="H20" s="17"/>
    </row>
    <row r="21" spans="2:8" x14ac:dyDescent="0.25">
      <c r="B21" s="45"/>
      <c r="C21" s="45"/>
      <c r="D21" s="45"/>
      <c r="E21" s="49"/>
      <c r="F21" s="49"/>
      <c r="G21" s="16"/>
      <c r="H21" s="17"/>
    </row>
    <row r="22" spans="2:8" x14ac:dyDescent="0.25">
      <c r="B22" s="45"/>
      <c r="C22" s="45"/>
      <c r="D22" s="45"/>
      <c r="E22" s="49"/>
      <c r="F22" s="49"/>
      <c r="G22" s="16"/>
      <c r="H22" s="17"/>
    </row>
    <row r="23" spans="2:8" x14ac:dyDescent="0.25">
      <c r="B23" s="51"/>
      <c r="C23" s="45"/>
      <c r="D23" s="45"/>
      <c r="E23" s="15"/>
      <c r="F23" s="15"/>
      <c r="G23" s="16"/>
      <c r="H23" s="17"/>
    </row>
    <row r="24" spans="2:8" x14ac:dyDescent="0.25">
      <c r="B24" s="60"/>
      <c r="C24" s="60"/>
      <c r="D24" s="60"/>
      <c r="E24" s="15"/>
      <c r="F24" s="15"/>
      <c r="G24" s="16"/>
      <c r="H24" s="17"/>
    </row>
    <row r="25" spans="2:8" x14ac:dyDescent="0.25">
      <c r="B25" s="45"/>
      <c r="C25" s="45"/>
      <c r="D25" s="45"/>
      <c r="E25" s="45"/>
      <c r="F25" s="15"/>
      <c r="G25" s="16"/>
      <c r="H25" s="17"/>
    </row>
    <row r="26" spans="2:8" x14ac:dyDescent="0.25">
      <c r="B26" s="45"/>
      <c r="C26" s="45"/>
      <c r="D26" s="45"/>
      <c r="E26" s="45"/>
      <c r="F26" s="40"/>
      <c r="G26" s="33"/>
      <c r="H26" s="17"/>
    </row>
    <row r="27" spans="2:8" x14ac:dyDescent="0.25">
      <c r="B27" s="51"/>
      <c r="C27" s="45"/>
      <c r="D27" s="45"/>
      <c r="E27" s="39"/>
      <c r="F27" s="40"/>
      <c r="G27" s="33"/>
      <c r="H27" s="17"/>
    </row>
    <row r="28" spans="2:8" x14ac:dyDescent="0.25">
      <c r="B28" s="45"/>
      <c r="C28" s="45"/>
      <c r="D28" s="45"/>
      <c r="E28" s="15"/>
      <c r="F28" s="15"/>
      <c r="G28" s="16"/>
      <c r="H28" s="17"/>
    </row>
    <row r="29" spans="2:8" x14ac:dyDescent="0.25">
      <c r="B29" s="45"/>
      <c r="C29" s="45"/>
      <c r="D29" s="45"/>
      <c r="E29" s="45"/>
      <c r="F29" s="40"/>
      <c r="G29" s="33"/>
      <c r="H29" s="17"/>
    </row>
    <row r="30" spans="2:8" x14ac:dyDescent="0.25">
      <c r="B30" s="51"/>
      <c r="C30" s="45"/>
      <c r="D30" s="45"/>
      <c r="E30" s="45"/>
      <c r="F30" s="29"/>
      <c r="G30" s="33"/>
      <c r="H30" s="17"/>
    </row>
    <row r="31" spans="2:8" x14ac:dyDescent="0.25">
      <c r="B31" s="45"/>
      <c r="C31" s="51"/>
      <c r="D31" s="51"/>
      <c r="E31" s="51"/>
      <c r="F31" s="40"/>
      <c r="G31" s="33"/>
      <c r="H31" s="17"/>
    </row>
    <row r="32" spans="2:8" x14ac:dyDescent="0.25">
      <c r="B32" s="45"/>
      <c r="C32" s="51"/>
      <c r="D32" s="51"/>
      <c r="E32" s="51"/>
      <c r="F32" s="40"/>
      <c r="G32" s="33"/>
      <c r="H32" s="17"/>
    </row>
    <row r="33" spans="1:8" x14ac:dyDescent="0.25">
      <c r="B33" s="45"/>
      <c r="C33" s="45"/>
      <c r="D33" s="45"/>
      <c r="E33" s="45"/>
      <c r="F33" s="40"/>
      <c r="G33" s="33"/>
      <c r="H33" s="17"/>
    </row>
    <row r="34" spans="1:8" x14ac:dyDescent="0.25">
      <c r="B34" s="51"/>
      <c r="C34" s="45"/>
      <c r="D34" s="45"/>
      <c r="E34" s="45"/>
      <c r="F34" s="40"/>
      <c r="G34" s="33"/>
      <c r="H34" s="17"/>
    </row>
    <row r="35" spans="1:8" x14ac:dyDescent="0.25">
      <c r="B35" s="45"/>
      <c r="C35" s="45"/>
      <c r="D35" s="45"/>
      <c r="E35" s="45"/>
      <c r="F35" s="40"/>
      <c r="G35" s="33"/>
      <c r="H35" s="17"/>
    </row>
    <row r="36" spans="1:8" x14ac:dyDescent="0.25">
      <c r="B36" s="45"/>
      <c r="C36" s="45"/>
      <c r="D36" s="45"/>
      <c r="E36" s="45"/>
      <c r="F36" s="40"/>
      <c r="G36" s="33"/>
      <c r="H36" s="17"/>
    </row>
    <row r="37" spans="1:8" x14ac:dyDescent="0.25">
      <c r="B37" s="45"/>
      <c r="C37" s="45"/>
      <c r="D37" s="45"/>
      <c r="E37" s="45"/>
      <c r="F37" s="40"/>
      <c r="G37" s="33"/>
      <c r="H37" s="17"/>
    </row>
    <row r="38" spans="1:8" x14ac:dyDescent="0.25">
      <c r="B38" s="48"/>
      <c r="C38" s="48"/>
      <c r="D38" s="48"/>
      <c r="E38" s="49"/>
      <c r="F38" s="49"/>
      <c r="G38" s="16"/>
      <c r="H38" s="17"/>
    </row>
    <row r="39" spans="1:8" x14ac:dyDescent="0.25">
      <c r="B39" s="30"/>
      <c r="C39" s="30"/>
      <c r="D39" s="30"/>
      <c r="E39" s="29"/>
      <c r="F39" s="29"/>
      <c r="G39" s="33"/>
      <c r="H39" s="17"/>
    </row>
    <row r="40" spans="1:8" x14ac:dyDescent="0.25">
      <c r="B40" s="5"/>
      <c r="C40" s="5"/>
      <c r="D40" s="31"/>
      <c r="E40" s="50" t="s">
        <v>19</v>
      </c>
      <c r="F40" s="50"/>
      <c r="G40" s="18">
        <f>SUM(G11:G39)</f>
        <v>1</v>
      </c>
      <c r="H40" s="19">
        <f>SUM(H11:H39)</f>
        <v>320</v>
      </c>
    </row>
    <row r="41" spans="1:8" ht="15" customHeight="1" x14ac:dyDescent="0.25">
      <c r="B41" s="32"/>
      <c r="C41" s="32"/>
      <c r="D41" s="32"/>
      <c r="E41" s="3"/>
      <c r="H41" s="13"/>
    </row>
    <row r="42" spans="1:8" x14ac:dyDescent="0.25">
      <c r="A42" s="46" t="s">
        <v>4</v>
      </c>
      <c r="B42" s="46"/>
      <c r="C42" s="46"/>
      <c r="D42" s="46"/>
      <c r="E42" s="46"/>
      <c r="F42" s="46"/>
      <c r="G42" s="46"/>
      <c r="H42" s="22" t="s">
        <v>3</v>
      </c>
    </row>
    <row r="43" spans="1:8" x14ac:dyDescent="0.25">
      <c r="A43" s="47" t="s">
        <v>5</v>
      </c>
      <c r="B43" s="47"/>
      <c r="C43" s="47"/>
      <c r="D43" s="47"/>
      <c r="E43" s="47"/>
      <c r="F43" s="47"/>
      <c r="G43" s="47"/>
      <c r="H43" s="23" t="e">
        <f>IF(H40&lt;&gt;0,(MAX(ROUNDUP(Paramètres!C7*H40,-1),20)),0)</f>
        <v>#VALUE!</v>
      </c>
    </row>
    <row r="44" spans="1:8" ht="15" customHeight="1" x14ac:dyDescent="0.25">
      <c r="B44" s="4"/>
      <c r="C44" s="4"/>
      <c r="D44" s="4"/>
      <c r="E44" s="3"/>
      <c r="H44" s="14"/>
    </row>
    <row r="45" spans="1:8" ht="26.1" customHeight="1" x14ac:dyDescent="0.25">
      <c r="B45" s="34"/>
      <c r="C45" s="35"/>
      <c r="D45" s="36"/>
      <c r="E45" s="46" t="s">
        <v>6</v>
      </c>
      <c r="F45" s="46"/>
      <c r="G45" s="46"/>
      <c r="H45" s="24" t="e">
        <f>H40+H43</f>
        <v>#VALUE!</v>
      </c>
    </row>
    <row r="46" spans="1:8" ht="18.600000000000001" customHeight="1" x14ac:dyDescent="0.25">
      <c r="B46" s="34"/>
      <c r="C46" s="35"/>
      <c r="D46" s="34"/>
      <c r="E46" s="58" t="e">
        <f>"TVA ("&amp;Paramètres!C5*100&amp;"%) (à titre indicatif) "</f>
        <v>#VALUE!</v>
      </c>
      <c r="F46" s="58"/>
      <c r="G46" s="58"/>
      <c r="H46" s="55" t="e">
        <f>H45*Paramètres!C5</f>
        <v>#VALUE!</v>
      </c>
    </row>
    <row r="47" spans="1:8" ht="15" customHeight="1" x14ac:dyDescent="0.25">
      <c r="B47" s="34"/>
      <c r="C47" s="35"/>
      <c r="D47" s="37"/>
      <c r="E47" s="59" t="s">
        <v>21</v>
      </c>
      <c r="F47" s="59"/>
      <c r="G47" s="59"/>
      <c r="H47" s="55"/>
    </row>
    <row r="48" spans="1:8" x14ac:dyDescent="0.25">
      <c r="B48" s="34"/>
      <c r="C48" s="38"/>
      <c r="D48" s="38"/>
      <c r="E48" s="57" t="s">
        <v>7</v>
      </c>
      <c r="F48" s="57"/>
      <c r="G48" s="57"/>
      <c r="H48" s="25" t="e">
        <f>H45+H46</f>
        <v>#VALUE!</v>
      </c>
    </row>
    <row r="49" spans="2:9" ht="98.25" customHeight="1" x14ac:dyDescent="0.25"/>
    <row r="50" spans="2:9" ht="29.25" customHeight="1" x14ac:dyDescent="0.25">
      <c r="B50" s="54" t="s">
        <v>13</v>
      </c>
      <c r="C50" s="54"/>
      <c r="D50" s="54"/>
      <c r="E50" s="54"/>
      <c r="F50" s="54"/>
      <c r="G50" s="54"/>
      <c r="H50" s="54"/>
      <c r="I50" s="5"/>
    </row>
    <row r="51" spans="2:9" ht="5.25" customHeight="1" x14ac:dyDescent="0.25">
      <c r="B51" s="2"/>
      <c r="C51" s="2"/>
      <c r="D51" s="2"/>
      <c r="E51" s="2"/>
      <c r="F51" s="2"/>
      <c r="G51" s="2"/>
      <c r="H51" s="2"/>
    </row>
    <row r="52" spans="2:9" ht="15.75" x14ac:dyDescent="0.25">
      <c r="B52" s="56" t="e">
        <f>"Ce devis est valable jusqu'au " &amp; TEXT(D6+7,"jj/mm/aaaa") &amp; "."</f>
        <v>#VALUE!</v>
      </c>
      <c r="C52" s="56"/>
      <c r="D52" s="56"/>
      <c r="E52" s="56"/>
      <c r="F52" s="56"/>
      <c r="G52" s="56"/>
      <c r="H52" s="56"/>
    </row>
    <row r="53" spans="2:9" ht="76.5" customHeight="1" x14ac:dyDescent="0.25"/>
    <row r="54" spans="2:9" x14ac:dyDescent="0.25">
      <c r="B54" s="52" t="s">
        <v>14</v>
      </c>
      <c r="C54" s="52"/>
      <c r="D54" s="52"/>
      <c r="E54" s="52"/>
      <c r="F54" s="52"/>
      <c r="G54" s="52"/>
      <c r="H54" s="52"/>
      <c r="I54" s="52"/>
    </row>
    <row r="55" spans="2:9" x14ac:dyDescent="0.25">
      <c r="B55" s="2"/>
      <c r="C55" s="2"/>
      <c r="D55" s="2"/>
      <c r="E55" s="2"/>
      <c r="F55" s="2"/>
      <c r="G55" s="2"/>
      <c r="H55" s="2"/>
      <c r="I55" s="2"/>
    </row>
    <row r="56" spans="2:9" x14ac:dyDescent="0.25">
      <c r="B56" s="53" t="str">
        <f>"Réf. " &amp; C5</f>
        <v>Réf. [onshow.refetude]-D[onshow.numero_d]</v>
      </c>
      <c r="C56" s="53"/>
      <c r="D56" s="27"/>
      <c r="E56" s="2"/>
      <c r="F56" s="2"/>
      <c r="G56" s="2"/>
      <c r="H56" s="28" t="s">
        <v>15</v>
      </c>
      <c r="I56" s="2"/>
    </row>
    <row r="57" spans="2:9" ht="11.25" customHeight="1" x14ac:dyDescent="0.25"/>
  </sheetData>
  <sheetProtection formatCells="0" formatColumns="0" formatRows="0" insertColumns="0" insertRows="0" insertHyperlinks="0" deleteColumns="0" deleteRows="0" selectLockedCells="1" sort="0" autoFilter="0"/>
  <dataConsolidate/>
  <mergeCells count="65">
    <mergeCell ref="B31:E31"/>
    <mergeCell ref="B33:E33"/>
    <mergeCell ref="B34:E34"/>
    <mergeCell ref="B35:E35"/>
    <mergeCell ref="E22:F22"/>
    <mergeCell ref="B23:D23"/>
    <mergeCell ref="B24:D24"/>
    <mergeCell ref="B25:E25"/>
    <mergeCell ref="B28:D28"/>
    <mergeCell ref="B27:D27"/>
    <mergeCell ref="E11:F11"/>
    <mergeCell ref="E12:F12"/>
    <mergeCell ref="E13:F13"/>
    <mergeCell ref="E14:F14"/>
    <mergeCell ref="E6:H6"/>
    <mergeCell ref="B2:C2"/>
    <mergeCell ref="B10:D10"/>
    <mergeCell ref="B8:C8"/>
    <mergeCell ref="C5:D5"/>
    <mergeCell ref="B6:C6"/>
    <mergeCell ref="D2:H2"/>
    <mergeCell ref="F5:H5"/>
    <mergeCell ref="F7:H7"/>
    <mergeCell ref="F8:H8"/>
    <mergeCell ref="B19:D19"/>
    <mergeCell ref="E10:F10"/>
    <mergeCell ref="B7:C7"/>
    <mergeCell ref="B17:D17"/>
    <mergeCell ref="B11:D11"/>
    <mergeCell ref="B13:D13"/>
    <mergeCell ref="B12:D12"/>
    <mergeCell ref="B14:D14"/>
    <mergeCell ref="B16:D16"/>
    <mergeCell ref="B15:D15"/>
    <mergeCell ref="B18:D18"/>
    <mergeCell ref="E19:F19"/>
    <mergeCell ref="E17:F17"/>
    <mergeCell ref="E18:F18"/>
    <mergeCell ref="E16:F16"/>
    <mergeCell ref="E15:F15"/>
    <mergeCell ref="B54:I54"/>
    <mergeCell ref="B56:C56"/>
    <mergeCell ref="B50:H50"/>
    <mergeCell ref="H46:H47"/>
    <mergeCell ref="E45:G45"/>
    <mergeCell ref="B52:H52"/>
    <mergeCell ref="E48:G48"/>
    <mergeCell ref="E46:G46"/>
    <mergeCell ref="E47:G47"/>
    <mergeCell ref="B20:D20"/>
    <mergeCell ref="B21:D21"/>
    <mergeCell ref="B22:D22"/>
    <mergeCell ref="A42:G42"/>
    <mergeCell ref="A43:G43"/>
    <mergeCell ref="B38:D38"/>
    <mergeCell ref="E20:F20"/>
    <mergeCell ref="E21:F21"/>
    <mergeCell ref="B36:E36"/>
    <mergeCell ref="B37:E37"/>
    <mergeCell ref="B26:E26"/>
    <mergeCell ref="E40:F40"/>
    <mergeCell ref="E38:F38"/>
    <mergeCell ref="B29:E29"/>
    <mergeCell ref="B30:E30"/>
    <mergeCell ref="B32:E32"/>
  </mergeCells>
  <pageMargins left="0.25" right="0.25" top="0.75" bottom="0.75" header="0.3" footer="0.3"/>
  <pageSetup paperSize="9" scale="67" orientation="portrait" horizontalDpi="1200" verticalDpi="1200" r:id="rId1"/>
  <drawing r:id="rId2"/>
  <legacy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4:H21"/>
  <sheetViews>
    <sheetView workbookViewId="0">
      <selection activeCell="H12" sqref="H12"/>
    </sheetView>
  </sheetViews>
  <sheetFormatPr baseColWidth="10" defaultRowHeight="15" x14ac:dyDescent="0.25"/>
  <cols>
    <col min="2" max="2" width="24.42578125" customWidth="1"/>
    <col min="3" max="3" width="42.5703125" customWidth="1"/>
  </cols>
  <sheetData>
    <row r="4" spans="2:6" ht="15.75" thickBot="1" x14ac:dyDescent="0.3">
      <c r="B4" s="6"/>
      <c r="C4" s="7"/>
    </row>
    <row r="5" spans="2:6" ht="15.75" thickBot="1" x14ac:dyDescent="0.3">
      <c r="B5" s="8" t="s">
        <v>8</v>
      </c>
      <c r="C5" s="9" t="s">
        <v>22</v>
      </c>
    </row>
    <row r="6" spans="2:6" ht="15.75" thickBot="1" x14ac:dyDescent="0.3"/>
    <row r="7" spans="2:6" ht="15.75" thickBot="1" x14ac:dyDescent="0.3">
      <c r="B7" s="10" t="s">
        <v>17</v>
      </c>
      <c r="C7" s="9" t="s">
        <v>23</v>
      </c>
    </row>
    <row r="12" spans="2:6" x14ac:dyDescent="0.25">
      <c r="F12" s="44"/>
    </row>
    <row r="21" spans="8:8" x14ac:dyDescent="0.25">
      <c r="H21" s="1"/>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Devis</vt:lpstr>
      <vt:lpstr>Paramètres</vt:lpstr>
      <vt:lpstr>Devis!Zone_d_impression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Thibault Demarquay</dc:creator>
  <cp:lastModifiedBy>Thibault Demarquay</cp:lastModifiedBy>
  <cp:lastPrinted>2014-06-29T13:50:17Z</cp:lastPrinted>
  <dcterms:created xsi:type="dcterms:W3CDTF">2014-02-05T22:43:32Z</dcterms:created>
  <dcterms:modified xsi:type="dcterms:W3CDTF">2014-09-04T16:40:41Z</dcterms:modified>
</cp:coreProperties>
</file>